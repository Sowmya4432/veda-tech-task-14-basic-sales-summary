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color rgb="0017365D"/>
    </font>
    <font>
      <b val="1"/>
      <color rgb="00C65911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2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Table" displayName="SalesTable" ref="A1:G101" headerRowCount="1">
  <autoFilter ref="A1:G101"/>
  <tableColumns count="7">
    <tableColumn id="1" name="Transaction ID"/>
    <tableColumn id="2" name="Date"/>
    <tableColumn id="3" name="Product"/>
    <tableColumn id="4" name="Category"/>
    <tableColumn id="5" name="Quantity"/>
    <tableColumn id="6" name="Unit Price (₹)"/>
    <tableColumn id="7" name="Sales (₹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12" customWidth="1" min="5" max="5"/>
    <col width="18" customWidth="1" min="6" max="6"/>
    <col width="18" customWidth="1" min="7" max="7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 (₹)</t>
        </is>
      </c>
      <c r="G1" s="1" t="inlineStr">
        <is>
          <t>Sales (₹)</t>
        </is>
      </c>
    </row>
    <row r="2">
      <c r="A2" t="inlineStr">
        <is>
          <t>TXN001</t>
        </is>
      </c>
      <c r="B2" s="2" t="n">
        <v>46282</v>
      </c>
      <c r="C2" t="inlineStr">
        <is>
          <t>Pen Pack</t>
        </is>
      </c>
      <c r="D2" t="inlineStr">
        <is>
          <t>Stationery</t>
        </is>
      </c>
      <c r="E2" t="n">
        <v>4</v>
      </c>
      <c r="F2" s="3" t="n">
        <v>28.63</v>
      </c>
      <c r="G2" s="3">
        <f>E2*F2</f>
        <v/>
      </c>
    </row>
    <row r="3">
      <c r="A3" t="inlineStr">
        <is>
          <t>TXN002</t>
        </is>
      </c>
      <c r="B3" s="2" t="n">
        <v>46285</v>
      </c>
      <c r="C3" t="inlineStr">
        <is>
          <t>Desk Lamp</t>
        </is>
      </c>
      <c r="D3" t="inlineStr">
        <is>
          <t>Home</t>
        </is>
      </c>
      <c r="E3" t="n">
        <v>2</v>
      </c>
      <c r="F3" s="3" t="n">
        <v>433.31</v>
      </c>
      <c r="G3" s="3">
        <f>E3*F3</f>
        <v/>
      </c>
    </row>
    <row r="4">
      <c r="A4" t="inlineStr">
        <is>
          <t>TXN003</t>
        </is>
      </c>
      <c r="B4" s="2" t="n">
        <v>46273</v>
      </c>
      <c r="C4" t="inlineStr">
        <is>
          <t>Phone Stand</t>
        </is>
      </c>
      <c r="D4" t="inlineStr">
        <is>
          <t>Accessories</t>
        </is>
      </c>
      <c r="E4" t="n">
        <v>7</v>
      </c>
      <c r="F4" s="3" t="n">
        <v>146.81</v>
      </c>
      <c r="G4" s="3">
        <f>E4*F4</f>
        <v/>
      </c>
    </row>
    <row r="5">
      <c r="A5" t="inlineStr">
        <is>
          <t>TXN004</t>
        </is>
      </c>
      <c r="B5" s="2" t="n">
        <v>46286</v>
      </c>
      <c r="C5" t="inlineStr">
        <is>
          <t>Desk Lamp</t>
        </is>
      </c>
      <c r="D5" t="inlineStr">
        <is>
          <t>Home</t>
        </is>
      </c>
      <c r="E5" t="n">
        <v>4</v>
      </c>
      <c r="F5" s="3" t="n">
        <v>451.15</v>
      </c>
      <c r="G5" s="3">
        <f>E5*F5</f>
        <v/>
      </c>
    </row>
    <row r="6">
      <c r="A6" t="inlineStr">
        <is>
          <t>TXN005</t>
        </is>
      </c>
      <c r="B6" s="2" t="n">
        <v>46306</v>
      </c>
      <c r="C6" t="inlineStr">
        <is>
          <t>Mouse</t>
        </is>
      </c>
      <c r="D6" t="inlineStr">
        <is>
          <t>Electronics</t>
        </is>
      </c>
      <c r="E6" t="n">
        <v>5</v>
      </c>
      <c r="F6" s="3" t="n">
        <v>534.67</v>
      </c>
      <c r="G6" s="3">
        <f>E6*F6</f>
        <v/>
      </c>
    </row>
    <row r="7">
      <c r="A7" t="inlineStr">
        <is>
          <t>TXN006</t>
        </is>
      </c>
      <c r="B7" s="2" t="n">
        <v>46308</v>
      </c>
      <c r="C7" t="inlineStr">
        <is>
          <t>Sticky Notes</t>
        </is>
      </c>
      <c r="D7" t="inlineStr">
        <is>
          <t>Stationery</t>
        </is>
      </c>
      <c r="E7" t="n">
        <v>3</v>
      </c>
      <c r="F7" s="3" t="n">
        <v>55.93</v>
      </c>
      <c r="G7" s="3">
        <f>E7*F7</f>
        <v/>
      </c>
    </row>
    <row r="8">
      <c r="A8" t="inlineStr">
        <is>
          <t>TXN007</t>
        </is>
      </c>
      <c r="B8" s="2" t="n">
        <v>46270</v>
      </c>
      <c r="C8" t="inlineStr">
        <is>
          <t>Desk Lamp</t>
        </is>
      </c>
      <c r="D8" t="inlineStr">
        <is>
          <t>Home</t>
        </is>
      </c>
      <c r="E8" t="n">
        <v>3</v>
      </c>
      <c r="F8" s="3" t="n">
        <v>378.89</v>
      </c>
      <c r="G8" s="3">
        <f>E8*F8</f>
        <v/>
      </c>
    </row>
    <row r="9">
      <c r="A9" t="inlineStr">
        <is>
          <t>TXN008</t>
        </is>
      </c>
      <c r="B9" s="2" t="n">
        <v>46283</v>
      </c>
      <c r="C9" t="inlineStr">
        <is>
          <t>Pen Pack</t>
        </is>
      </c>
      <c r="D9" t="inlineStr">
        <is>
          <t>Stationery</t>
        </is>
      </c>
      <c r="E9" t="n">
        <v>6</v>
      </c>
      <c r="F9" s="3" t="n">
        <v>27.17</v>
      </c>
      <c r="G9" s="3">
        <f>E9*F9</f>
        <v/>
      </c>
    </row>
    <row r="10">
      <c r="A10" t="inlineStr">
        <is>
          <t>TXN009</t>
        </is>
      </c>
      <c r="B10" s="2" t="n">
        <v>46294</v>
      </c>
      <c r="C10" t="inlineStr">
        <is>
          <t>Backpack</t>
        </is>
      </c>
      <c r="D10" t="inlineStr">
        <is>
          <t>Accessories</t>
        </is>
      </c>
      <c r="E10" t="n">
        <v>7</v>
      </c>
      <c r="F10" s="3" t="n">
        <v>637.48</v>
      </c>
      <c r="G10" s="3">
        <f>E10*F10</f>
        <v/>
      </c>
    </row>
    <row r="11">
      <c r="A11" t="inlineStr">
        <is>
          <t>TXN010</t>
        </is>
      </c>
      <c r="B11" s="2" t="n">
        <v>46309</v>
      </c>
      <c r="C11" t="inlineStr">
        <is>
          <t>USB Drive</t>
        </is>
      </c>
      <c r="D11" t="inlineStr">
        <is>
          <t>Electronics</t>
        </is>
      </c>
      <c r="E11" t="n">
        <v>2</v>
      </c>
      <c r="F11" s="3" t="n">
        <v>752.16</v>
      </c>
      <c r="G11" s="3">
        <f>E11*F11</f>
        <v/>
      </c>
    </row>
    <row r="12">
      <c r="A12" t="inlineStr">
        <is>
          <t>TXN011</t>
        </is>
      </c>
      <c r="B12" s="2" t="n">
        <v>46272</v>
      </c>
      <c r="C12" t="inlineStr">
        <is>
          <t>Pen Pack</t>
        </is>
      </c>
      <c r="D12" t="inlineStr">
        <is>
          <t>Stationery</t>
        </is>
      </c>
      <c r="E12" t="n">
        <v>6</v>
      </c>
      <c r="F12" s="3" t="n">
        <v>28.09</v>
      </c>
      <c r="G12" s="3">
        <f>E12*F12</f>
        <v/>
      </c>
    </row>
    <row r="13">
      <c r="A13" t="inlineStr">
        <is>
          <t>TXN012</t>
        </is>
      </c>
      <c r="B13" s="2" t="n">
        <v>46305</v>
      </c>
      <c r="C13" t="inlineStr">
        <is>
          <t>Phone Stand</t>
        </is>
      </c>
      <c r="D13" t="inlineStr">
        <is>
          <t>Accessories</t>
        </is>
      </c>
      <c r="E13" t="n">
        <v>4</v>
      </c>
      <c r="F13" s="3" t="n">
        <v>143.12</v>
      </c>
      <c r="G13" s="3">
        <f>E13*F13</f>
        <v/>
      </c>
    </row>
    <row r="14">
      <c r="A14" t="inlineStr">
        <is>
          <t>TXN013</t>
        </is>
      </c>
      <c r="B14" s="2" t="n">
        <v>46298</v>
      </c>
      <c r="C14" t="inlineStr">
        <is>
          <t>Backpack</t>
        </is>
      </c>
      <c r="D14" t="inlineStr">
        <is>
          <t>Accessories</t>
        </is>
      </c>
      <c r="E14" t="n">
        <v>8</v>
      </c>
      <c r="F14" s="3" t="n">
        <v>688.77</v>
      </c>
      <c r="G14" s="3">
        <f>E14*F14</f>
        <v/>
      </c>
    </row>
    <row r="15">
      <c r="A15" t="inlineStr">
        <is>
          <t>TXN014</t>
        </is>
      </c>
      <c r="B15" s="2" t="n">
        <v>46271</v>
      </c>
      <c r="C15" t="inlineStr">
        <is>
          <t>Desk Lamp</t>
        </is>
      </c>
      <c r="D15" t="inlineStr">
        <is>
          <t>Home</t>
        </is>
      </c>
      <c r="E15" t="n">
        <v>2</v>
      </c>
      <c r="F15" s="3" t="n">
        <v>388.18</v>
      </c>
      <c r="G15" s="3">
        <f>E15*F15</f>
        <v/>
      </c>
    </row>
    <row r="16">
      <c r="A16" t="inlineStr">
        <is>
          <t>TXN015</t>
        </is>
      </c>
      <c r="B16" s="2" t="n">
        <v>46276</v>
      </c>
      <c r="C16" t="inlineStr">
        <is>
          <t>Desk Lamp</t>
        </is>
      </c>
      <c r="D16" t="inlineStr">
        <is>
          <t>Home</t>
        </is>
      </c>
      <c r="E16" t="n">
        <v>5</v>
      </c>
      <c r="F16" s="3" t="n">
        <v>387.94</v>
      </c>
      <c r="G16" s="3">
        <f>E16*F16</f>
        <v/>
      </c>
    </row>
    <row r="17">
      <c r="A17" t="inlineStr">
        <is>
          <t>TXN016</t>
        </is>
      </c>
      <c r="B17" s="2" t="n">
        <v>46303</v>
      </c>
      <c r="C17" t="inlineStr">
        <is>
          <t>Keyboard</t>
        </is>
      </c>
      <c r="D17" t="inlineStr">
        <is>
          <t>Electronics</t>
        </is>
      </c>
      <c r="E17" t="n">
        <v>2</v>
      </c>
      <c r="F17" s="3" t="n">
        <v>933.52</v>
      </c>
      <c r="G17" s="3">
        <f>E17*F17</f>
        <v/>
      </c>
    </row>
    <row r="18">
      <c r="A18" t="inlineStr">
        <is>
          <t>TXN017</t>
        </is>
      </c>
      <c r="B18" s="2" t="n">
        <v>46309</v>
      </c>
      <c r="C18" t="inlineStr">
        <is>
          <t>Pen Pack</t>
        </is>
      </c>
      <c r="D18" t="inlineStr">
        <is>
          <t>Stationery</t>
        </is>
      </c>
      <c r="E18" t="n">
        <v>7</v>
      </c>
      <c r="F18" s="3" t="n">
        <v>29.88</v>
      </c>
      <c r="G18" s="3">
        <f>E18*F18</f>
        <v/>
      </c>
    </row>
    <row r="19">
      <c r="A19" t="inlineStr">
        <is>
          <t>TXN018</t>
        </is>
      </c>
      <c r="B19" s="2" t="n">
        <v>46297</v>
      </c>
      <c r="C19" t="inlineStr">
        <is>
          <t>Water Bottle</t>
        </is>
      </c>
      <c r="D19" t="inlineStr">
        <is>
          <t>Accessories</t>
        </is>
      </c>
      <c r="E19" t="n">
        <v>7</v>
      </c>
      <c r="F19" s="3" t="n">
        <v>178.39</v>
      </c>
      <c r="G19" s="3">
        <f>E19*F19</f>
        <v/>
      </c>
    </row>
    <row r="20">
      <c r="A20" t="inlineStr">
        <is>
          <t>TXN019</t>
        </is>
      </c>
      <c r="B20" s="2" t="n">
        <v>46272</v>
      </c>
      <c r="C20" t="inlineStr">
        <is>
          <t>Phone Stand</t>
        </is>
      </c>
      <c r="D20" t="inlineStr">
        <is>
          <t>Accessories</t>
        </is>
      </c>
      <c r="E20" t="n">
        <v>7</v>
      </c>
      <c r="F20" s="3" t="n">
        <v>147.53</v>
      </c>
      <c r="G20" s="3">
        <f>E20*F20</f>
        <v/>
      </c>
    </row>
    <row r="21">
      <c r="A21" t="inlineStr">
        <is>
          <t>TXN020</t>
        </is>
      </c>
      <c r="B21" s="2" t="n">
        <v>46294</v>
      </c>
      <c r="C21" t="inlineStr">
        <is>
          <t>Desk Lamp</t>
        </is>
      </c>
      <c r="D21" t="inlineStr">
        <is>
          <t>Home</t>
        </is>
      </c>
      <c r="E21" t="n">
        <v>8</v>
      </c>
      <c r="F21" s="3" t="n">
        <v>411.1</v>
      </c>
      <c r="G21" s="3">
        <f>E21*F21</f>
        <v/>
      </c>
    </row>
    <row r="22">
      <c r="A22" t="inlineStr">
        <is>
          <t>TXN021</t>
        </is>
      </c>
      <c r="B22" s="2" t="n">
        <v>46275</v>
      </c>
      <c r="C22" t="inlineStr">
        <is>
          <t>USB Drive</t>
        </is>
      </c>
      <c r="D22" t="inlineStr">
        <is>
          <t>Electronics</t>
        </is>
      </c>
      <c r="E22" t="n">
        <v>8</v>
      </c>
      <c r="F22" s="3" t="n">
        <v>639.3</v>
      </c>
      <c r="G22" s="3">
        <f>E22*F22</f>
        <v/>
      </c>
    </row>
    <row r="23">
      <c r="A23" t="inlineStr">
        <is>
          <t>TXN022</t>
        </is>
      </c>
      <c r="B23" s="2" t="n">
        <v>46267</v>
      </c>
      <c r="C23" t="inlineStr">
        <is>
          <t>Phone Stand</t>
        </is>
      </c>
      <c r="D23" t="inlineStr">
        <is>
          <t>Accessories</t>
        </is>
      </c>
      <c r="E23" t="n">
        <v>5</v>
      </c>
      <c r="F23" s="3" t="n">
        <v>152.14</v>
      </c>
      <c r="G23" s="3">
        <f>E23*F23</f>
        <v/>
      </c>
    </row>
    <row r="24">
      <c r="A24" t="inlineStr">
        <is>
          <t>TXN023</t>
        </is>
      </c>
      <c r="B24" s="2" t="n">
        <v>46302</v>
      </c>
      <c r="C24" t="inlineStr">
        <is>
          <t>Keyboard</t>
        </is>
      </c>
      <c r="D24" t="inlineStr">
        <is>
          <t>Electronics</t>
        </is>
      </c>
      <c r="E24" t="n">
        <v>7</v>
      </c>
      <c r="F24" s="3" t="n">
        <v>813.74</v>
      </c>
      <c r="G24" s="3">
        <f>E24*F24</f>
        <v/>
      </c>
    </row>
    <row r="25">
      <c r="A25" t="inlineStr">
        <is>
          <t>TXN024</t>
        </is>
      </c>
      <c r="B25" s="2" t="n">
        <v>46285</v>
      </c>
      <c r="C25" t="inlineStr">
        <is>
          <t>Mouse</t>
        </is>
      </c>
      <c r="D25" t="inlineStr">
        <is>
          <t>Electronics</t>
        </is>
      </c>
      <c r="E25" t="n">
        <v>8</v>
      </c>
      <c r="F25" s="3" t="n">
        <v>523.99</v>
      </c>
      <c r="G25" s="3">
        <f>E25*F25</f>
        <v/>
      </c>
    </row>
    <row r="26">
      <c r="A26" t="inlineStr">
        <is>
          <t>TXN025</t>
        </is>
      </c>
      <c r="B26" s="2" t="n">
        <v>46301</v>
      </c>
      <c r="C26" t="inlineStr">
        <is>
          <t>Sticky Notes</t>
        </is>
      </c>
      <c r="D26" t="inlineStr">
        <is>
          <t>Stationery</t>
        </is>
      </c>
      <c r="E26" t="n">
        <v>4</v>
      </c>
      <c r="F26" s="3" t="n">
        <v>54.51</v>
      </c>
      <c r="G26" s="3">
        <f>E26*F26</f>
        <v/>
      </c>
    </row>
    <row r="27">
      <c r="A27" t="inlineStr">
        <is>
          <t>TXN026</t>
        </is>
      </c>
      <c r="B27" s="2" t="n">
        <v>46272</v>
      </c>
      <c r="C27" t="inlineStr">
        <is>
          <t>Phone Stand</t>
        </is>
      </c>
      <c r="D27" t="inlineStr">
        <is>
          <t>Accessories</t>
        </is>
      </c>
      <c r="E27" t="n">
        <v>5</v>
      </c>
      <c r="F27" s="3" t="n">
        <v>137.86</v>
      </c>
      <c r="G27" s="3">
        <f>E27*F27</f>
        <v/>
      </c>
    </row>
    <row r="28">
      <c r="A28" t="inlineStr">
        <is>
          <t>TXN027</t>
        </is>
      </c>
      <c r="B28" s="2" t="n">
        <v>46266</v>
      </c>
      <c r="C28" t="inlineStr">
        <is>
          <t>Notebook</t>
        </is>
      </c>
      <c r="D28" t="inlineStr">
        <is>
          <t>Stationery</t>
        </is>
      </c>
      <c r="E28" t="n">
        <v>4</v>
      </c>
      <c r="F28" s="3" t="n">
        <v>43.31</v>
      </c>
      <c r="G28" s="3">
        <f>E28*F28</f>
        <v/>
      </c>
    </row>
    <row r="29">
      <c r="A29" t="inlineStr">
        <is>
          <t>TXN028</t>
        </is>
      </c>
      <c r="B29" s="2" t="n">
        <v>46288</v>
      </c>
      <c r="C29" t="inlineStr">
        <is>
          <t>USB Drive</t>
        </is>
      </c>
      <c r="D29" t="inlineStr">
        <is>
          <t>Electronics</t>
        </is>
      </c>
      <c r="E29" t="n">
        <v>5</v>
      </c>
      <c r="F29" s="3" t="n">
        <v>703.02</v>
      </c>
      <c r="G29" s="3">
        <f>E29*F29</f>
        <v/>
      </c>
    </row>
    <row r="30">
      <c r="A30" t="inlineStr">
        <is>
          <t>TXN029</t>
        </is>
      </c>
      <c r="B30" s="2" t="n">
        <v>46275</v>
      </c>
      <c r="C30" t="inlineStr">
        <is>
          <t>Desk Lamp</t>
        </is>
      </c>
      <c r="D30" t="inlineStr">
        <is>
          <t>Home</t>
        </is>
      </c>
      <c r="E30" t="n">
        <v>2</v>
      </c>
      <c r="F30" s="3" t="n">
        <v>380.95</v>
      </c>
      <c r="G30" s="3">
        <f>E30*F30</f>
        <v/>
      </c>
    </row>
    <row r="31">
      <c r="A31" t="inlineStr">
        <is>
          <t>TXN030</t>
        </is>
      </c>
      <c r="B31" s="2" t="n">
        <v>46298</v>
      </c>
      <c r="C31" t="inlineStr">
        <is>
          <t>Backpack</t>
        </is>
      </c>
      <c r="D31" t="inlineStr">
        <is>
          <t>Accessories</t>
        </is>
      </c>
      <c r="E31" t="n">
        <v>1</v>
      </c>
      <c r="F31" s="3" t="n">
        <v>614.9</v>
      </c>
      <c r="G31" s="3">
        <f>E31*F31</f>
        <v/>
      </c>
    </row>
    <row r="32">
      <c r="A32" t="inlineStr">
        <is>
          <t>TXN031</t>
        </is>
      </c>
      <c r="B32" s="2" t="n">
        <v>46304</v>
      </c>
      <c r="C32" t="inlineStr">
        <is>
          <t>Desk Lamp</t>
        </is>
      </c>
      <c r="D32" t="inlineStr">
        <is>
          <t>Home</t>
        </is>
      </c>
      <c r="E32" t="n">
        <v>3</v>
      </c>
      <c r="F32" s="3" t="n">
        <v>398.88</v>
      </c>
      <c r="G32" s="3">
        <f>E32*F32</f>
        <v/>
      </c>
    </row>
    <row r="33">
      <c r="A33" t="inlineStr">
        <is>
          <t>TXN032</t>
        </is>
      </c>
      <c r="B33" s="2" t="n">
        <v>46289</v>
      </c>
      <c r="C33" t="inlineStr">
        <is>
          <t>Mouse</t>
        </is>
      </c>
      <c r="D33" t="inlineStr">
        <is>
          <t>Electronics</t>
        </is>
      </c>
      <c r="E33" t="n">
        <v>5</v>
      </c>
      <c r="F33" s="3" t="n">
        <v>574.36</v>
      </c>
      <c r="G33" s="3">
        <f>E33*F33</f>
        <v/>
      </c>
    </row>
    <row r="34">
      <c r="A34" t="inlineStr">
        <is>
          <t>TXN033</t>
        </is>
      </c>
      <c r="B34" s="2" t="n">
        <v>46278</v>
      </c>
      <c r="C34" t="inlineStr">
        <is>
          <t>Notebook</t>
        </is>
      </c>
      <c r="D34" t="inlineStr">
        <is>
          <t>Stationery</t>
        </is>
      </c>
      <c r="E34" t="n">
        <v>3</v>
      </c>
      <c r="F34" s="3" t="n">
        <v>45.07</v>
      </c>
      <c r="G34" s="3">
        <f>E34*F34</f>
        <v/>
      </c>
    </row>
    <row r="35">
      <c r="A35" t="inlineStr">
        <is>
          <t>TXN034</t>
        </is>
      </c>
      <c r="B35" s="2" t="n">
        <v>46290</v>
      </c>
      <c r="C35" t="inlineStr">
        <is>
          <t>Mouse</t>
        </is>
      </c>
      <c r="D35" t="inlineStr">
        <is>
          <t>Electronics</t>
        </is>
      </c>
      <c r="E35" t="n">
        <v>8</v>
      </c>
      <c r="F35" s="3" t="n">
        <v>537.25</v>
      </c>
      <c r="G35" s="3">
        <f>E35*F35</f>
        <v/>
      </c>
    </row>
    <row r="36">
      <c r="A36" t="inlineStr">
        <is>
          <t>TXN035</t>
        </is>
      </c>
      <c r="B36" s="2" t="n">
        <v>46305</v>
      </c>
      <c r="C36" t="inlineStr">
        <is>
          <t>Sticky Notes</t>
        </is>
      </c>
      <c r="D36" t="inlineStr">
        <is>
          <t>Stationery</t>
        </is>
      </c>
      <c r="E36" t="n">
        <v>6</v>
      </c>
      <c r="F36" s="3" t="n">
        <v>59.86</v>
      </c>
      <c r="G36" s="3">
        <f>E36*F36</f>
        <v/>
      </c>
    </row>
    <row r="37">
      <c r="A37" t="inlineStr">
        <is>
          <t>TXN036</t>
        </is>
      </c>
      <c r="B37" s="2" t="n">
        <v>46293</v>
      </c>
      <c r="C37" t="inlineStr">
        <is>
          <t>Notebook</t>
        </is>
      </c>
      <c r="D37" t="inlineStr">
        <is>
          <t>Stationery</t>
        </is>
      </c>
      <c r="E37" t="n">
        <v>4</v>
      </c>
      <c r="F37" s="3" t="n">
        <v>46.29</v>
      </c>
      <c r="G37" s="3">
        <f>E37*F37</f>
        <v/>
      </c>
    </row>
    <row r="38">
      <c r="A38" t="inlineStr">
        <is>
          <t>TXN037</t>
        </is>
      </c>
      <c r="B38" s="2" t="n">
        <v>46272</v>
      </c>
      <c r="C38" t="inlineStr">
        <is>
          <t>Phone Stand</t>
        </is>
      </c>
      <c r="D38" t="inlineStr">
        <is>
          <t>Accessories</t>
        </is>
      </c>
      <c r="E38" t="n">
        <v>6</v>
      </c>
      <c r="F38" s="3" t="n">
        <v>137.69</v>
      </c>
      <c r="G38" s="3">
        <f>E38*F38</f>
        <v/>
      </c>
    </row>
    <row r="39">
      <c r="A39" t="inlineStr">
        <is>
          <t>TXN038</t>
        </is>
      </c>
      <c r="B39" s="2" t="n">
        <v>46275</v>
      </c>
      <c r="C39" t="inlineStr">
        <is>
          <t>Water Bottle</t>
        </is>
      </c>
      <c r="D39" t="inlineStr">
        <is>
          <t>Accessories</t>
        </is>
      </c>
      <c r="E39" t="n">
        <v>4</v>
      </c>
      <c r="F39" s="3" t="n">
        <v>163.96</v>
      </c>
      <c r="G39" s="3">
        <f>E39*F39</f>
        <v/>
      </c>
    </row>
    <row r="40">
      <c r="A40" t="inlineStr">
        <is>
          <t>TXN039</t>
        </is>
      </c>
      <c r="B40" s="2" t="n">
        <v>46274</v>
      </c>
      <c r="C40" t="inlineStr">
        <is>
          <t>Backpack</t>
        </is>
      </c>
      <c r="D40" t="inlineStr">
        <is>
          <t>Accessories</t>
        </is>
      </c>
      <c r="E40" t="n">
        <v>5</v>
      </c>
      <c r="F40" s="3" t="n">
        <v>648.3099999999999</v>
      </c>
      <c r="G40" s="3">
        <f>E40*F40</f>
        <v/>
      </c>
    </row>
    <row r="41">
      <c r="A41" t="inlineStr">
        <is>
          <t>TXN040</t>
        </is>
      </c>
      <c r="B41" s="2" t="n">
        <v>46272</v>
      </c>
      <c r="C41" t="inlineStr">
        <is>
          <t>Sticky Notes</t>
        </is>
      </c>
      <c r="D41" t="inlineStr">
        <is>
          <t>Stationery</t>
        </is>
      </c>
      <c r="E41" t="n">
        <v>7</v>
      </c>
      <c r="F41" s="3" t="n">
        <v>54.61</v>
      </c>
      <c r="G41" s="3">
        <f>E41*F41</f>
        <v/>
      </c>
    </row>
    <row r="42">
      <c r="A42" t="inlineStr">
        <is>
          <t>TXN041</t>
        </is>
      </c>
      <c r="B42" s="2" t="n">
        <v>46292</v>
      </c>
      <c r="C42" t="inlineStr">
        <is>
          <t>Desk Lamp</t>
        </is>
      </c>
      <c r="D42" t="inlineStr">
        <is>
          <t>Home</t>
        </is>
      </c>
      <c r="E42" t="n">
        <v>6</v>
      </c>
      <c r="F42" s="3" t="n">
        <v>423.47</v>
      </c>
      <c r="G42" s="3">
        <f>E42*F42</f>
        <v/>
      </c>
    </row>
    <row r="43">
      <c r="A43" t="inlineStr">
        <is>
          <t>TXN042</t>
        </is>
      </c>
      <c r="B43" s="2" t="n">
        <v>46275</v>
      </c>
      <c r="C43" t="inlineStr">
        <is>
          <t>Water Bottle</t>
        </is>
      </c>
      <c r="D43" t="inlineStr">
        <is>
          <t>Accessories</t>
        </is>
      </c>
      <c r="E43" t="n">
        <v>8</v>
      </c>
      <c r="F43" s="3" t="n">
        <v>170</v>
      </c>
      <c r="G43" s="3">
        <f>E43*F43</f>
        <v/>
      </c>
    </row>
    <row r="44">
      <c r="A44" t="inlineStr">
        <is>
          <t>TXN043</t>
        </is>
      </c>
      <c r="B44" s="2" t="n">
        <v>46280</v>
      </c>
      <c r="C44" t="inlineStr">
        <is>
          <t>Water Bottle</t>
        </is>
      </c>
      <c r="D44" t="inlineStr">
        <is>
          <t>Accessories</t>
        </is>
      </c>
      <c r="E44" t="n">
        <v>3</v>
      </c>
      <c r="F44" s="3" t="n">
        <v>162.62</v>
      </c>
      <c r="G44" s="3">
        <f>E44*F44</f>
        <v/>
      </c>
    </row>
    <row r="45">
      <c r="A45" t="inlineStr">
        <is>
          <t>TXN044</t>
        </is>
      </c>
      <c r="B45" s="2" t="n">
        <v>46295</v>
      </c>
      <c r="C45" t="inlineStr">
        <is>
          <t>Mouse</t>
        </is>
      </c>
      <c r="D45" t="inlineStr">
        <is>
          <t>Electronics</t>
        </is>
      </c>
      <c r="E45" t="n">
        <v>1</v>
      </c>
      <c r="F45" s="3" t="n">
        <v>558.5700000000001</v>
      </c>
      <c r="G45" s="3">
        <f>E45*F45</f>
        <v/>
      </c>
    </row>
    <row r="46">
      <c r="A46" t="inlineStr">
        <is>
          <t>TXN045</t>
        </is>
      </c>
      <c r="B46" s="2" t="n">
        <v>46270</v>
      </c>
      <c r="C46" t="inlineStr">
        <is>
          <t>Desk Lamp</t>
        </is>
      </c>
      <c r="D46" t="inlineStr">
        <is>
          <t>Home</t>
        </is>
      </c>
      <c r="E46" t="n">
        <v>8</v>
      </c>
      <c r="F46" s="3" t="n">
        <v>405.11</v>
      </c>
      <c r="G46" s="3">
        <f>E46*F46</f>
        <v/>
      </c>
    </row>
    <row r="47">
      <c r="A47" t="inlineStr">
        <is>
          <t>TXN046</t>
        </is>
      </c>
      <c r="B47" s="2" t="n">
        <v>46307</v>
      </c>
      <c r="C47" t="inlineStr">
        <is>
          <t>Mouse</t>
        </is>
      </c>
      <c r="D47" t="inlineStr">
        <is>
          <t>Electronics</t>
        </is>
      </c>
      <c r="E47" t="n">
        <v>1</v>
      </c>
      <c r="F47" s="3" t="n">
        <v>604.41</v>
      </c>
      <c r="G47" s="3">
        <f>E47*F47</f>
        <v/>
      </c>
    </row>
    <row r="48">
      <c r="A48" t="inlineStr">
        <is>
          <t>TXN047</t>
        </is>
      </c>
      <c r="B48" s="2" t="n">
        <v>46270</v>
      </c>
      <c r="C48" t="inlineStr">
        <is>
          <t>Sticky Notes</t>
        </is>
      </c>
      <c r="D48" t="inlineStr">
        <is>
          <t>Stationery</t>
        </is>
      </c>
      <c r="E48" t="n">
        <v>2</v>
      </c>
      <c r="F48" s="3" t="n">
        <v>65.05</v>
      </c>
      <c r="G48" s="3">
        <f>E48*F48</f>
        <v/>
      </c>
    </row>
    <row r="49">
      <c r="A49" t="inlineStr">
        <is>
          <t>TXN048</t>
        </is>
      </c>
      <c r="B49" s="2" t="n">
        <v>46307</v>
      </c>
      <c r="C49" t="inlineStr">
        <is>
          <t>Keyboard</t>
        </is>
      </c>
      <c r="D49" t="inlineStr">
        <is>
          <t>Electronics</t>
        </is>
      </c>
      <c r="E49" t="n">
        <v>2</v>
      </c>
      <c r="F49" s="3" t="n">
        <v>967.4</v>
      </c>
      <c r="G49" s="3">
        <f>E49*F49</f>
        <v/>
      </c>
    </row>
    <row r="50">
      <c r="A50" t="inlineStr">
        <is>
          <t>TXN049</t>
        </is>
      </c>
      <c r="B50" s="2" t="n">
        <v>46309</v>
      </c>
      <c r="C50" t="inlineStr">
        <is>
          <t>Water Bottle</t>
        </is>
      </c>
      <c r="D50" t="inlineStr">
        <is>
          <t>Accessories</t>
        </is>
      </c>
      <c r="E50" t="n">
        <v>2</v>
      </c>
      <c r="F50" s="3" t="n">
        <v>162</v>
      </c>
      <c r="G50" s="3">
        <f>E50*F50</f>
        <v/>
      </c>
    </row>
    <row r="51">
      <c r="A51" t="inlineStr">
        <is>
          <t>TXN050</t>
        </is>
      </c>
      <c r="B51" s="2" t="n">
        <v>46290</v>
      </c>
      <c r="C51" t="inlineStr">
        <is>
          <t>Desk Lamp</t>
        </is>
      </c>
      <c r="D51" t="inlineStr">
        <is>
          <t>Home</t>
        </is>
      </c>
      <c r="E51" t="n">
        <v>1</v>
      </c>
      <c r="F51" s="3" t="n">
        <v>389.36</v>
      </c>
      <c r="G51" s="3">
        <f>E51*F51</f>
        <v/>
      </c>
    </row>
    <row r="52">
      <c r="A52" t="inlineStr">
        <is>
          <t>TXN051</t>
        </is>
      </c>
      <c r="B52" s="2" t="n">
        <v>46294</v>
      </c>
      <c r="C52" t="inlineStr">
        <is>
          <t>USB Drive</t>
        </is>
      </c>
      <c r="D52" t="inlineStr">
        <is>
          <t>Electronics</t>
        </is>
      </c>
      <c r="E52" t="n">
        <v>3</v>
      </c>
      <c r="F52" s="3" t="n">
        <v>630.6799999999999</v>
      </c>
      <c r="G52" s="3">
        <f>E52*F52</f>
        <v/>
      </c>
    </row>
    <row r="53">
      <c r="A53" t="inlineStr">
        <is>
          <t>TXN052</t>
        </is>
      </c>
      <c r="B53" s="2" t="n">
        <v>46267</v>
      </c>
      <c r="C53" t="inlineStr">
        <is>
          <t>Phone Stand</t>
        </is>
      </c>
      <c r="D53" t="inlineStr">
        <is>
          <t>Accessories</t>
        </is>
      </c>
      <c r="E53" t="n">
        <v>8</v>
      </c>
      <c r="F53" s="3" t="n">
        <v>156.55</v>
      </c>
      <c r="G53" s="3">
        <f>E53*F53</f>
        <v/>
      </c>
    </row>
    <row r="54">
      <c r="A54" t="inlineStr">
        <is>
          <t>TXN053</t>
        </is>
      </c>
      <c r="B54" s="2" t="n">
        <v>46281</v>
      </c>
      <c r="C54" t="inlineStr">
        <is>
          <t>Desk Lamp</t>
        </is>
      </c>
      <c r="D54" t="inlineStr">
        <is>
          <t>Home</t>
        </is>
      </c>
      <c r="E54" t="n">
        <v>2</v>
      </c>
      <c r="F54" s="3" t="n">
        <v>459.6</v>
      </c>
      <c r="G54" s="3">
        <f>E54*F54</f>
        <v/>
      </c>
    </row>
    <row r="55">
      <c r="A55" t="inlineStr">
        <is>
          <t>TXN054</t>
        </is>
      </c>
      <c r="B55" s="2" t="n">
        <v>46281</v>
      </c>
      <c r="C55" t="inlineStr">
        <is>
          <t>Desk Lamp</t>
        </is>
      </c>
      <c r="D55" t="inlineStr">
        <is>
          <t>Home</t>
        </is>
      </c>
      <c r="E55" t="n">
        <v>1</v>
      </c>
      <c r="F55" s="3" t="n">
        <v>424.07</v>
      </c>
      <c r="G55" s="3">
        <f>E55*F55</f>
        <v/>
      </c>
    </row>
    <row r="56">
      <c r="A56" t="inlineStr">
        <is>
          <t>TXN055</t>
        </is>
      </c>
      <c r="B56" s="2" t="n">
        <v>46273</v>
      </c>
      <c r="C56" t="inlineStr">
        <is>
          <t>Notebook</t>
        </is>
      </c>
      <c r="D56" t="inlineStr">
        <is>
          <t>Stationery</t>
        </is>
      </c>
      <c r="E56" t="n">
        <v>6</v>
      </c>
      <c r="F56" s="3" t="n">
        <v>48.61</v>
      </c>
      <c r="G56" s="3">
        <f>E56*F56</f>
        <v/>
      </c>
    </row>
    <row r="57">
      <c r="A57" t="inlineStr">
        <is>
          <t>TXN056</t>
        </is>
      </c>
      <c r="B57" s="2" t="n">
        <v>46288</v>
      </c>
      <c r="C57" t="inlineStr">
        <is>
          <t>Keyboard</t>
        </is>
      </c>
      <c r="D57" t="inlineStr">
        <is>
          <t>Electronics</t>
        </is>
      </c>
      <c r="E57" t="n">
        <v>7</v>
      </c>
      <c r="F57" s="3" t="n">
        <v>890.17</v>
      </c>
      <c r="G57" s="3">
        <f>E57*F57</f>
        <v/>
      </c>
    </row>
    <row r="58">
      <c r="A58" t="inlineStr">
        <is>
          <t>TXN057</t>
        </is>
      </c>
      <c r="B58" s="2" t="n">
        <v>46284</v>
      </c>
      <c r="C58" t="inlineStr">
        <is>
          <t>Mouse</t>
        </is>
      </c>
      <c r="D58" t="inlineStr">
        <is>
          <t>Electronics</t>
        </is>
      </c>
      <c r="E58" t="n">
        <v>1</v>
      </c>
      <c r="F58" s="3" t="n">
        <v>522.76</v>
      </c>
      <c r="G58" s="3">
        <f>E58*F58</f>
        <v/>
      </c>
    </row>
    <row r="59">
      <c r="A59" t="inlineStr">
        <is>
          <t>TXN058</t>
        </is>
      </c>
      <c r="B59" s="2" t="n">
        <v>46299</v>
      </c>
      <c r="C59" t="inlineStr">
        <is>
          <t>USB Drive</t>
        </is>
      </c>
      <c r="D59" t="inlineStr">
        <is>
          <t>Electronics</t>
        </is>
      </c>
      <c r="E59" t="n">
        <v>5</v>
      </c>
      <c r="F59" s="3" t="n">
        <v>765.51</v>
      </c>
      <c r="G59" s="3">
        <f>E59*F59</f>
        <v/>
      </c>
    </row>
    <row r="60">
      <c r="A60" t="inlineStr">
        <is>
          <t>TXN059</t>
        </is>
      </c>
      <c r="B60" s="2" t="n">
        <v>46307</v>
      </c>
      <c r="C60" t="inlineStr">
        <is>
          <t>USB Drive</t>
        </is>
      </c>
      <c r="D60" t="inlineStr">
        <is>
          <t>Electronics</t>
        </is>
      </c>
      <c r="E60" t="n">
        <v>8</v>
      </c>
      <c r="F60" s="3" t="n">
        <v>633.58</v>
      </c>
      <c r="G60" s="3">
        <f>E60*F60</f>
        <v/>
      </c>
    </row>
    <row r="61">
      <c r="A61" t="inlineStr">
        <is>
          <t>TXN060</t>
        </is>
      </c>
      <c r="B61" s="2" t="n">
        <v>46290</v>
      </c>
      <c r="C61" t="inlineStr">
        <is>
          <t>Pen Pack</t>
        </is>
      </c>
      <c r="D61" t="inlineStr">
        <is>
          <t>Stationery</t>
        </is>
      </c>
      <c r="E61" t="n">
        <v>8</v>
      </c>
      <c r="F61" s="3" t="n">
        <v>29.04</v>
      </c>
      <c r="G61" s="3">
        <f>E61*F61</f>
        <v/>
      </c>
    </row>
    <row r="62">
      <c r="A62" t="inlineStr">
        <is>
          <t>TXN061</t>
        </is>
      </c>
      <c r="B62" s="2" t="n">
        <v>46292</v>
      </c>
      <c r="C62" t="inlineStr">
        <is>
          <t>USB Drive</t>
        </is>
      </c>
      <c r="D62" t="inlineStr">
        <is>
          <t>Electronics</t>
        </is>
      </c>
      <c r="E62" t="n">
        <v>7</v>
      </c>
      <c r="F62" s="3" t="n">
        <v>665.01</v>
      </c>
      <c r="G62" s="3">
        <f>E62*F62</f>
        <v/>
      </c>
    </row>
    <row r="63">
      <c r="A63" t="inlineStr">
        <is>
          <t>TXN062</t>
        </is>
      </c>
      <c r="B63" s="2" t="n">
        <v>46296</v>
      </c>
      <c r="C63" t="inlineStr">
        <is>
          <t>Backpack</t>
        </is>
      </c>
      <c r="D63" t="inlineStr">
        <is>
          <t>Accessories</t>
        </is>
      </c>
      <c r="E63" t="n">
        <v>1</v>
      </c>
      <c r="F63" s="3" t="n">
        <v>633.96</v>
      </c>
      <c r="G63" s="3">
        <f>E63*F63</f>
        <v/>
      </c>
    </row>
    <row r="64">
      <c r="A64" t="inlineStr">
        <is>
          <t>TXN063</t>
        </is>
      </c>
      <c r="B64" s="2" t="n">
        <v>46273</v>
      </c>
      <c r="C64" t="inlineStr">
        <is>
          <t>Backpack</t>
        </is>
      </c>
      <c r="D64" t="inlineStr">
        <is>
          <t>Accessories</t>
        </is>
      </c>
      <c r="E64" t="n">
        <v>7</v>
      </c>
      <c r="F64" s="3" t="n">
        <v>690.8200000000001</v>
      </c>
      <c r="G64" s="3">
        <f>E64*F64</f>
        <v/>
      </c>
    </row>
    <row r="65">
      <c r="A65" t="inlineStr">
        <is>
          <t>TXN064</t>
        </is>
      </c>
      <c r="B65" s="2" t="n">
        <v>46270</v>
      </c>
      <c r="C65" t="inlineStr">
        <is>
          <t>Backpack</t>
        </is>
      </c>
      <c r="D65" t="inlineStr">
        <is>
          <t>Accessories</t>
        </is>
      </c>
      <c r="E65" t="n">
        <v>4</v>
      </c>
      <c r="F65" s="3" t="n">
        <v>610.37</v>
      </c>
      <c r="G65" s="3">
        <f>E65*F65</f>
        <v/>
      </c>
    </row>
    <row r="66">
      <c r="A66" t="inlineStr">
        <is>
          <t>TXN065</t>
        </is>
      </c>
      <c r="B66" s="2" t="n">
        <v>46308</v>
      </c>
      <c r="C66" t="inlineStr">
        <is>
          <t>Backpack</t>
        </is>
      </c>
      <c r="D66" t="inlineStr">
        <is>
          <t>Accessories</t>
        </is>
      </c>
      <c r="E66" t="n">
        <v>2</v>
      </c>
      <c r="F66" s="3" t="n">
        <v>643.9400000000001</v>
      </c>
      <c r="G66" s="3">
        <f>E66*F66</f>
        <v/>
      </c>
    </row>
    <row r="67">
      <c r="A67" t="inlineStr">
        <is>
          <t>TXN066</t>
        </is>
      </c>
      <c r="B67" s="2" t="n">
        <v>46309</v>
      </c>
      <c r="C67" t="inlineStr">
        <is>
          <t>Sticky Notes</t>
        </is>
      </c>
      <c r="D67" t="inlineStr">
        <is>
          <t>Stationery</t>
        </is>
      </c>
      <c r="E67" t="n">
        <v>1</v>
      </c>
      <c r="F67" s="3" t="n">
        <v>54.34</v>
      </c>
      <c r="G67" s="3">
        <f>E67*F67</f>
        <v/>
      </c>
    </row>
    <row r="68">
      <c r="A68" t="inlineStr">
        <is>
          <t>TXN067</t>
        </is>
      </c>
      <c r="B68" s="2" t="n">
        <v>46293</v>
      </c>
      <c r="C68" t="inlineStr">
        <is>
          <t>USB Drive</t>
        </is>
      </c>
      <c r="D68" t="inlineStr">
        <is>
          <t>Electronics</t>
        </is>
      </c>
      <c r="E68" t="n">
        <v>5</v>
      </c>
      <c r="F68" s="3" t="n">
        <v>738.4400000000001</v>
      </c>
      <c r="G68" s="3">
        <f>E68*F68</f>
        <v/>
      </c>
    </row>
    <row r="69">
      <c r="A69" t="inlineStr">
        <is>
          <t>TXN068</t>
        </is>
      </c>
      <c r="B69" s="2" t="n">
        <v>46270</v>
      </c>
      <c r="C69" t="inlineStr">
        <is>
          <t>Phone Stand</t>
        </is>
      </c>
      <c r="D69" t="inlineStr">
        <is>
          <t>Accessories</t>
        </is>
      </c>
      <c r="E69" t="n">
        <v>4</v>
      </c>
      <c r="F69" s="3" t="n">
        <v>161.98</v>
      </c>
      <c r="G69" s="3">
        <f>E69*F69</f>
        <v/>
      </c>
    </row>
    <row r="70">
      <c r="A70" t="inlineStr">
        <is>
          <t>TXN069</t>
        </is>
      </c>
      <c r="B70" s="2" t="n">
        <v>46295</v>
      </c>
      <c r="C70" t="inlineStr">
        <is>
          <t>Pen Pack</t>
        </is>
      </c>
      <c r="D70" t="inlineStr">
        <is>
          <t>Stationery</t>
        </is>
      </c>
      <c r="E70" t="n">
        <v>3</v>
      </c>
      <c r="F70" s="3" t="n">
        <v>31.31</v>
      </c>
      <c r="G70" s="3">
        <f>E70*F70</f>
        <v/>
      </c>
    </row>
    <row r="71">
      <c r="A71" t="inlineStr">
        <is>
          <t>TXN070</t>
        </is>
      </c>
      <c r="B71" s="2" t="n">
        <v>46289</v>
      </c>
      <c r="C71" t="inlineStr">
        <is>
          <t>Backpack</t>
        </is>
      </c>
      <c r="D71" t="inlineStr">
        <is>
          <t>Accessories</t>
        </is>
      </c>
      <c r="E71" t="n">
        <v>7</v>
      </c>
      <c r="F71" s="3" t="n">
        <v>598.95</v>
      </c>
      <c r="G71" s="3">
        <f>E71*F71</f>
        <v/>
      </c>
    </row>
    <row r="72">
      <c r="A72" t="inlineStr">
        <is>
          <t>TXN071</t>
        </is>
      </c>
      <c r="B72" s="2" t="n">
        <v>46288</v>
      </c>
      <c r="C72" t="inlineStr">
        <is>
          <t>Phone Stand</t>
        </is>
      </c>
      <c r="D72" t="inlineStr">
        <is>
          <t>Accessories</t>
        </is>
      </c>
      <c r="E72" t="n">
        <v>4</v>
      </c>
      <c r="F72" s="3" t="n">
        <v>157.64</v>
      </c>
      <c r="G72" s="3">
        <f>E72*F72</f>
        <v/>
      </c>
    </row>
    <row r="73">
      <c r="A73" t="inlineStr">
        <is>
          <t>TXN072</t>
        </is>
      </c>
      <c r="B73" s="2" t="n">
        <v>46285</v>
      </c>
      <c r="C73" t="inlineStr">
        <is>
          <t>Mouse</t>
        </is>
      </c>
      <c r="D73" t="inlineStr">
        <is>
          <t>Electronics</t>
        </is>
      </c>
      <c r="E73" t="n">
        <v>8</v>
      </c>
      <c r="F73" s="3" t="n">
        <v>553.76</v>
      </c>
      <c r="G73" s="3">
        <f>E73*F73</f>
        <v/>
      </c>
    </row>
    <row r="74">
      <c r="A74" t="inlineStr">
        <is>
          <t>TXN073</t>
        </is>
      </c>
      <c r="B74" s="2" t="n">
        <v>46295</v>
      </c>
      <c r="C74" t="inlineStr">
        <is>
          <t>Notebook</t>
        </is>
      </c>
      <c r="D74" t="inlineStr">
        <is>
          <t>Stationery</t>
        </is>
      </c>
      <c r="E74" t="n">
        <v>3</v>
      </c>
      <c r="F74" s="3" t="n">
        <v>45.99</v>
      </c>
      <c r="G74" s="3">
        <f>E74*F74</f>
        <v/>
      </c>
    </row>
    <row r="75">
      <c r="A75" t="inlineStr">
        <is>
          <t>TXN074</t>
        </is>
      </c>
      <c r="B75" s="2" t="n">
        <v>46285</v>
      </c>
      <c r="C75" t="inlineStr">
        <is>
          <t>Water Bottle</t>
        </is>
      </c>
      <c r="D75" t="inlineStr">
        <is>
          <t>Accessories</t>
        </is>
      </c>
      <c r="E75" t="n">
        <v>5</v>
      </c>
      <c r="F75" s="3" t="n">
        <v>179.12</v>
      </c>
      <c r="G75" s="3">
        <f>E75*F75</f>
        <v/>
      </c>
    </row>
    <row r="76">
      <c r="A76" t="inlineStr">
        <is>
          <t>TXN075</t>
        </is>
      </c>
      <c r="B76" s="2" t="n">
        <v>46299</v>
      </c>
      <c r="C76" t="inlineStr">
        <is>
          <t>Sticky Notes</t>
        </is>
      </c>
      <c r="D76" t="inlineStr">
        <is>
          <t>Stationery</t>
        </is>
      </c>
      <c r="E76" t="n">
        <v>1</v>
      </c>
      <c r="F76" s="3" t="n">
        <v>55.85</v>
      </c>
      <c r="G76" s="3">
        <f>E76*F76</f>
        <v/>
      </c>
    </row>
    <row r="77">
      <c r="A77" t="inlineStr">
        <is>
          <t>TXN076</t>
        </is>
      </c>
      <c r="B77" s="2" t="n">
        <v>46306</v>
      </c>
      <c r="C77" t="inlineStr">
        <is>
          <t>Notebook</t>
        </is>
      </c>
      <c r="D77" t="inlineStr">
        <is>
          <t>Stationery</t>
        </is>
      </c>
      <c r="E77" t="n">
        <v>5</v>
      </c>
      <c r="F77" s="3" t="n">
        <v>44.88</v>
      </c>
      <c r="G77" s="3">
        <f>E77*F77</f>
        <v/>
      </c>
    </row>
    <row r="78">
      <c r="A78" t="inlineStr">
        <is>
          <t>TXN077</t>
        </is>
      </c>
      <c r="B78" s="2" t="n">
        <v>46277</v>
      </c>
      <c r="C78" t="inlineStr">
        <is>
          <t>Desk Lamp</t>
        </is>
      </c>
      <c r="D78" t="inlineStr">
        <is>
          <t>Home</t>
        </is>
      </c>
      <c r="E78" t="n">
        <v>6</v>
      </c>
      <c r="F78" s="3" t="n">
        <v>434.35</v>
      </c>
      <c r="G78" s="3">
        <f>E78*F78</f>
        <v/>
      </c>
    </row>
    <row r="79">
      <c r="A79" t="inlineStr">
        <is>
          <t>TXN078</t>
        </is>
      </c>
      <c r="B79" s="2" t="n">
        <v>46270</v>
      </c>
      <c r="C79" t="inlineStr">
        <is>
          <t>Water Bottle</t>
        </is>
      </c>
      <c r="D79" t="inlineStr">
        <is>
          <t>Accessories</t>
        </is>
      </c>
      <c r="E79" t="n">
        <v>1</v>
      </c>
      <c r="F79" s="3" t="n">
        <v>169.54</v>
      </c>
      <c r="G79" s="3">
        <f>E79*F79</f>
        <v/>
      </c>
    </row>
    <row r="80">
      <c r="A80" t="inlineStr">
        <is>
          <t>TXN079</t>
        </is>
      </c>
      <c r="B80" s="2" t="n">
        <v>46285</v>
      </c>
      <c r="C80" t="inlineStr">
        <is>
          <t>Water Bottle</t>
        </is>
      </c>
      <c r="D80" t="inlineStr">
        <is>
          <t>Accessories</t>
        </is>
      </c>
      <c r="E80" t="n">
        <v>4</v>
      </c>
      <c r="F80" s="3" t="n">
        <v>194.56</v>
      </c>
      <c r="G80" s="3">
        <f>E80*F80</f>
        <v/>
      </c>
    </row>
    <row r="81">
      <c r="A81" t="inlineStr">
        <is>
          <t>TXN080</t>
        </is>
      </c>
      <c r="B81" s="2" t="n">
        <v>46288</v>
      </c>
      <c r="C81" t="inlineStr">
        <is>
          <t>Keyboard</t>
        </is>
      </c>
      <c r="D81" t="inlineStr">
        <is>
          <t>Electronics</t>
        </is>
      </c>
      <c r="E81" t="n">
        <v>8</v>
      </c>
      <c r="F81" s="3" t="n">
        <v>958.21</v>
      </c>
      <c r="G81" s="3">
        <f>E81*F81</f>
        <v/>
      </c>
    </row>
    <row r="82">
      <c r="A82" t="inlineStr">
        <is>
          <t>TXN081</t>
        </is>
      </c>
      <c r="B82" s="2" t="n">
        <v>46301</v>
      </c>
      <c r="C82" t="inlineStr">
        <is>
          <t>Water Bottle</t>
        </is>
      </c>
      <c r="D82" t="inlineStr">
        <is>
          <t>Accessories</t>
        </is>
      </c>
      <c r="E82" t="n">
        <v>6</v>
      </c>
      <c r="F82" s="3" t="n">
        <v>170.88</v>
      </c>
      <c r="G82" s="3">
        <f>E82*F82</f>
        <v/>
      </c>
    </row>
    <row r="83">
      <c r="A83" t="inlineStr">
        <is>
          <t>TXN082</t>
        </is>
      </c>
      <c r="B83" s="2" t="n">
        <v>46293</v>
      </c>
      <c r="C83" t="inlineStr">
        <is>
          <t>Mouse</t>
        </is>
      </c>
      <c r="D83" t="inlineStr">
        <is>
          <t>Electronics</t>
        </is>
      </c>
      <c r="E83" t="n">
        <v>6</v>
      </c>
      <c r="F83" s="3" t="n">
        <v>584.99</v>
      </c>
      <c r="G83" s="3">
        <f>E83*F83</f>
        <v/>
      </c>
    </row>
    <row r="84">
      <c r="A84" t="inlineStr">
        <is>
          <t>TXN083</t>
        </is>
      </c>
      <c r="B84" s="2" t="n">
        <v>46283</v>
      </c>
      <c r="C84" t="inlineStr">
        <is>
          <t>Pen Pack</t>
        </is>
      </c>
      <c r="D84" t="inlineStr">
        <is>
          <t>Stationery</t>
        </is>
      </c>
      <c r="E84" t="n">
        <v>1</v>
      </c>
      <c r="F84" s="3" t="n">
        <v>27.24</v>
      </c>
      <c r="G84" s="3">
        <f>E84*F84</f>
        <v/>
      </c>
    </row>
    <row r="85">
      <c r="A85" t="inlineStr">
        <is>
          <t>TXN084</t>
        </is>
      </c>
      <c r="B85" s="2" t="n">
        <v>46278</v>
      </c>
      <c r="C85" t="inlineStr">
        <is>
          <t>Water Bottle</t>
        </is>
      </c>
      <c r="D85" t="inlineStr">
        <is>
          <t>Accessories</t>
        </is>
      </c>
      <c r="E85" t="n">
        <v>5</v>
      </c>
      <c r="F85" s="3" t="n">
        <v>169.15</v>
      </c>
      <c r="G85" s="3">
        <f>E85*F85</f>
        <v/>
      </c>
    </row>
    <row r="86">
      <c r="A86" t="inlineStr">
        <is>
          <t>TXN085</t>
        </is>
      </c>
      <c r="B86" s="2" t="n">
        <v>46284</v>
      </c>
      <c r="C86" t="inlineStr">
        <is>
          <t>Pen Pack</t>
        </is>
      </c>
      <c r="D86" t="inlineStr">
        <is>
          <t>Stationery</t>
        </is>
      </c>
      <c r="E86" t="n">
        <v>4</v>
      </c>
      <c r="F86" s="3" t="n">
        <v>32.59</v>
      </c>
      <c r="G86" s="3">
        <f>E86*F86</f>
        <v/>
      </c>
    </row>
    <row r="87">
      <c r="A87" t="inlineStr">
        <is>
          <t>TXN086</t>
        </is>
      </c>
      <c r="B87" s="2" t="n">
        <v>46273</v>
      </c>
      <c r="C87" t="inlineStr">
        <is>
          <t>USB Drive</t>
        </is>
      </c>
      <c r="D87" t="inlineStr">
        <is>
          <t>Electronics</t>
        </is>
      </c>
      <c r="E87" t="n">
        <v>8</v>
      </c>
      <c r="F87" s="3" t="n">
        <v>645.7</v>
      </c>
      <c r="G87" s="3">
        <f>E87*F87</f>
        <v/>
      </c>
    </row>
    <row r="88">
      <c r="A88" t="inlineStr">
        <is>
          <t>TXN087</t>
        </is>
      </c>
      <c r="B88" s="2" t="n">
        <v>46300</v>
      </c>
      <c r="C88" t="inlineStr">
        <is>
          <t>Phone Stand</t>
        </is>
      </c>
      <c r="D88" t="inlineStr">
        <is>
          <t>Accessories</t>
        </is>
      </c>
      <c r="E88" t="n">
        <v>2</v>
      </c>
      <c r="F88" s="3" t="n">
        <v>156.14</v>
      </c>
      <c r="G88" s="3">
        <f>E88*F88</f>
        <v/>
      </c>
    </row>
    <row r="89">
      <c r="A89" t="inlineStr">
        <is>
          <t>TXN088</t>
        </is>
      </c>
      <c r="B89" s="2" t="n">
        <v>46279</v>
      </c>
      <c r="C89" t="inlineStr">
        <is>
          <t>Backpack</t>
        </is>
      </c>
      <c r="D89" t="inlineStr">
        <is>
          <t>Accessories</t>
        </is>
      </c>
      <c r="E89" t="n">
        <v>1</v>
      </c>
      <c r="F89" s="3" t="n">
        <v>661.87</v>
      </c>
      <c r="G89" s="3">
        <f>E89*F89</f>
        <v/>
      </c>
    </row>
    <row r="90">
      <c r="A90" t="inlineStr">
        <is>
          <t>TXN089</t>
        </is>
      </c>
      <c r="B90" s="2" t="n">
        <v>46271</v>
      </c>
      <c r="C90" t="inlineStr">
        <is>
          <t>Sticky Notes</t>
        </is>
      </c>
      <c r="D90" t="inlineStr">
        <is>
          <t>Stationery</t>
        </is>
      </c>
      <c r="E90" t="n">
        <v>7</v>
      </c>
      <c r="F90" s="3" t="n">
        <v>56.34</v>
      </c>
      <c r="G90" s="3">
        <f>E90*F90</f>
        <v/>
      </c>
    </row>
    <row r="91">
      <c r="A91" t="inlineStr">
        <is>
          <t>TXN090</t>
        </is>
      </c>
      <c r="B91" s="2" t="n">
        <v>46306</v>
      </c>
      <c r="C91" t="inlineStr">
        <is>
          <t>Water Bottle</t>
        </is>
      </c>
      <c r="D91" t="inlineStr">
        <is>
          <t>Accessories</t>
        </is>
      </c>
      <c r="E91" t="n">
        <v>6</v>
      </c>
      <c r="F91" s="3" t="n">
        <v>193.07</v>
      </c>
      <c r="G91" s="3">
        <f>E91*F91</f>
        <v/>
      </c>
    </row>
    <row r="92">
      <c r="A92" t="inlineStr">
        <is>
          <t>TXN091</t>
        </is>
      </c>
      <c r="B92" s="2" t="n">
        <v>46271</v>
      </c>
      <c r="C92" t="inlineStr">
        <is>
          <t>Phone Stand</t>
        </is>
      </c>
      <c r="D92" t="inlineStr">
        <is>
          <t>Accessories</t>
        </is>
      </c>
      <c r="E92" t="n">
        <v>2</v>
      </c>
      <c r="F92" s="3" t="n">
        <v>137.42</v>
      </c>
      <c r="G92" s="3">
        <f>E92*F92</f>
        <v/>
      </c>
    </row>
    <row r="93">
      <c r="A93" t="inlineStr">
        <is>
          <t>TXN092</t>
        </is>
      </c>
      <c r="B93" s="2" t="n">
        <v>46272</v>
      </c>
      <c r="C93" t="inlineStr">
        <is>
          <t>Sticky Notes</t>
        </is>
      </c>
      <c r="D93" t="inlineStr">
        <is>
          <t>Stationery</t>
        </is>
      </c>
      <c r="E93" t="n">
        <v>4</v>
      </c>
      <c r="F93" s="3" t="n">
        <v>56.71</v>
      </c>
      <c r="G93" s="3">
        <f>E93*F93</f>
        <v/>
      </c>
    </row>
    <row r="94">
      <c r="A94" t="inlineStr">
        <is>
          <t>TXN093</t>
        </is>
      </c>
      <c r="B94" s="2" t="n">
        <v>46286</v>
      </c>
      <c r="C94" t="inlineStr">
        <is>
          <t>Water Bottle</t>
        </is>
      </c>
      <c r="D94" t="inlineStr">
        <is>
          <t>Accessories</t>
        </is>
      </c>
      <c r="E94" t="n">
        <v>8</v>
      </c>
      <c r="F94" s="3" t="n">
        <v>181.99</v>
      </c>
      <c r="G94" s="3">
        <f>E94*F94</f>
        <v/>
      </c>
    </row>
    <row r="95">
      <c r="A95" t="inlineStr">
        <is>
          <t>TXN094</t>
        </is>
      </c>
      <c r="B95" s="2" t="n">
        <v>46289</v>
      </c>
      <c r="C95" t="inlineStr">
        <is>
          <t>Keyboard</t>
        </is>
      </c>
      <c r="D95" t="inlineStr">
        <is>
          <t>Electronics</t>
        </is>
      </c>
      <c r="E95" t="n">
        <v>2</v>
      </c>
      <c r="F95" s="3" t="n">
        <v>925.76</v>
      </c>
      <c r="G95" s="3">
        <f>E95*F95</f>
        <v/>
      </c>
    </row>
    <row r="96">
      <c r="A96" t="inlineStr">
        <is>
          <t>TXN095</t>
        </is>
      </c>
      <c r="B96" s="2" t="n">
        <v>46276</v>
      </c>
      <c r="C96" t="inlineStr">
        <is>
          <t>Pen Pack</t>
        </is>
      </c>
      <c r="D96" t="inlineStr">
        <is>
          <t>Stationery</t>
        </is>
      </c>
      <c r="E96" t="n">
        <v>6</v>
      </c>
      <c r="F96" s="3" t="n">
        <v>32.09</v>
      </c>
      <c r="G96" s="3">
        <f>E96*F96</f>
        <v/>
      </c>
    </row>
    <row r="97">
      <c r="A97" t="inlineStr">
        <is>
          <t>TXN096</t>
        </is>
      </c>
      <c r="B97" s="2" t="n">
        <v>46272</v>
      </c>
      <c r="C97" t="inlineStr">
        <is>
          <t>Phone Stand</t>
        </is>
      </c>
      <c r="D97" t="inlineStr">
        <is>
          <t>Accessories</t>
        </is>
      </c>
      <c r="E97" t="n">
        <v>8</v>
      </c>
      <c r="F97" s="3" t="n">
        <v>164.18</v>
      </c>
      <c r="G97" s="3">
        <f>E97*F97</f>
        <v/>
      </c>
    </row>
    <row r="98">
      <c r="A98" t="inlineStr">
        <is>
          <t>TXN097</t>
        </is>
      </c>
      <c r="B98" s="2" t="n">
        <v>46286</v>
      </c>
      <c r="C98" t="inlineStr">
        <is>
          <t>Mouse</t>
        </is>
      </c>
      <c r="D98" t="inlineStr">
        <is>
          <t>Electronics</t>
        </is>
      </c>
      <c r="E98" t="n">
        <v>1</v>
      </c>
      <c r="F98" s="3" t="n">
        <v>553.9299999999999</v>
      </c>
      <c r="G98" s="3">
        <f>E98*F98</f>
        <v/>
      </c>
    </row>
    <row r="99">
      <c r="A99" t="inlineStr">
        <is>
          <t>TXN098</t>
        </is>
      </c>
      <c r="B99" s="2" t="n">
        <v>46278</v>
      </c>
      <c r="C99" t="inlineStr">
        <is>
          <t>Notebook</t>
        </is>
      </c>
      <c r="D99" t="inlineStr">
        <is>
          <t>Stationery</t>
        </is>
      </c>
      <c r="E99" t="n">
        <v>1</v>
      </c>
      <c r="F99" s="3" t="n">
        <v>45.32</v>
      </c>
      <c r="G99" s="3">
        <f>E99*F99</f>
        <v/>
      </c>
    </row>
    <row r="100">
      <c r="A100" t="inlineStr">
        <is>
          <t>TXN099</t>
        </is>
      </c>
      <c r="B100" s="2" t="n">
        <v>46276</v>
      </c>
      <c r="C100" t="inlineStr">
        <is>
          <t>Backpack</t>
        </is>
      </c>
      <c r="D100" t="inlineStr">
        <is>
          <t>Accessories</t>
        </is>
      </c>
      <c r="E100" t="n">
        <v>2</v>
      </c>
      <c r="F100" s="3" t="n">
        <v>630.9400000000001</v>
      </c>
      <c r="G100" s="3">
        <f>E100*F100</f>
        <v/>
      </c>
    </row>
    <row r="101">
      <c r="A101" t="inlineStr">
        <is>
          <t>TXN100</t>
        </is>
      </c>
      <c r="B101" s="2" t="n">
        <v>46270</v>
      </c>
      <c r="C101" t="inlineStr">
        <is>
          <t>Desk Lamp</t>
        </is>
      </c>
      <c r="D101" t="inlineStr">
        <is>
          <t>Home</t>
        </is>
      </c>
      <c r="E101" t="n">
        <v>7</v>
      </c>
      <c r="F101" s="3" t="n">
        <v>382.19</v>
      </c>
      <c r="G101" s="3">
        <f>E101*F101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</cols>
  <sheetData>
    <row r="1">
      <c r="A1" s="4" t="inlineStr">
        <is>
          <t>TASK 14 - BASIC SALES SUMMARY</t>
        </is>
      </c>
    </row>
    <row r="3">
      <c r="A3" s="5" t="inlineStr">
        <is>
          <t>KPI</t>
        </is>
      </c>
      <c r="B3" s="5" t="inlineStr">
        <is>
          <t>Value</t>
        </is>
      </c>
      <c r="C3" s="5" t="inlineStr">
        <is>
          <t>Formula / Meaning</t>
        </is>
      </c>
    </row>
    <row r="4">
      <c r="A4" s="6" t="inlineStr">
        <is>
          <t>Total Sales</t>
        </is>
      </c>
      <c r="B4" s="7">
        <f>SUM('Sales Data'!G2:G101)</f>
        <v/>
      </c>
      <c r="C4" s="6" t="inlineStr">
        <is>
          <t>Sum of all transaction sales</t>
        </is>
      </c>
    </row>
    <row r="5">
      <c r="A5" s="6" t="inlineStr">
        <is>
          <t>Average Sales</t>
        </is>
      </c>
      <c r="B5" s="7">
        <f>AVERAGE('Sales Data'!G2:G101)</f>
        <v/>
      </c>
      <c r="C5" s="6" t="inlineStr">
        <is>
          <t>Average sales value per transaction</t>
        </is>
      </c>
    </row>
    <row r="6">
      <c r="A6" s="6" t="inlineStr">
        <is>
          <t>Transaction Count</t>
        </is>
      </c>
      <c r="B6" s="8">
        <f>COUNTA('Sales Data'!A2:A101)</f>
        <v/>
      </c>
      <c r="C6" s="6" t="inlineStr">
        <is>
          <t>Number of transaction IDs</t>
        </is>
      </c>
    </row>
    <row r="9">
      <c r="A9" s="9" t="inlineStr">
        <is>
          <t>How to verify</t>
        </is>
      </c>
    </row>
    <row r="10">
      <c r="A10" t="inlineStr">
        <is>
          <t>1. Total Sales = add all values in the Sales (₹) column.</t>
        </is>
      </c>
    </row>
    <row r="11">
      <c r="A11" t="inlineStr">
        <is>
          <t>2. Average Sales = Total Sales divided by transaction count.</t>
        </is>
      </c>
    </row>
    <row r="12">
      <c r="A12" t="inlineStr">
        <is>
          <t>3. Transaction Count = count of non-empty Transaction IDs.</t>
        </is>
      </c>
    </row>
    <row r="14">
      <c r="A14" s="10" t="inlineStr">
        <is>
          <t>Note</t>
        </is>
      </c>
    </row>
    <row r="15">
      <c r="A15" s="11" t="inlineStr">
        <is>
          <t>This workbook uses illustrative sample retail data. Replace it with your assigned dataset if provided.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2" t="inlineStr">
        <is>
          <t>TASK 14 - BASIC SALES SUMMARY</t>
        </is>
      </c>
    </row>
    <row r="2">
      <c r="A2" s="13" t="inlineStr">
        <is>
          <t>Objective</t>
        </is>
      </c>
      <c r="B2" s="14" t="inlineStr">
        <is>
          <t>Calculate total sales, average sales, and transaction count.</t>
        </is>
      </c>
    </row>
    <row r="3">
      <c r="A3" s="15" t="inlineStr">
        <is>
          <t>Tool</t>
        </is>
      </c>
      <c r="B3" s="16" t="inlineStr">
        <is>
          <t>Microsoft Excel</t>
        </is>
      </c>
    </row>
    <row r="4">
      <c r="A4" s="15" t="inlineStr">
        <is>
          <t>Deliverables</t>
        </is>
      </c>
      <c r="B4" s="16" t="inlineStr">
        <is>
          <t>Sales Data sheet + Summary sheet with 3 KPIs.</t>
        </is>
      </c>
    </row>
    <row r="5">
      <c r="A5" s="15" t="inlineStr">
        <is>
          <t>Step 1</t>
        </is>
      </c>
      <c r="B5" s="16" t="inlineStr">
        <is>
          <t>Review the Sales Data sheet. Each row represents one transaction.</t>
        </is>
      </c>
    </row>
    <row r="6">
      <c r="A6" s="15" t="inlineStr">
        <is>
          <t>Step 2</t>
        </is>
      </c>
      <c r="B6" s="16" t="inlineStr">
        <is>
          <t>Sales (₹) is calculated as Quantity × Unit Price.</t>
        </is>
      </c>
    </row>
    <row r="7">
      <c r="A7" s="15" t="inlineStr">
        <is>
          <t>Step 3</t>
        </is>
      </c>
      <c r="B7" s="16" t="inlineStr">
        <is>
          <t>On Summary, Total Sales uses SUM on the Sales column.</t>
        </is>
      </c>
    </row>
    <row r="8">
      <c r="A8" s="15" t="inlineStr">
        <is>
          <t>Step 4</t>
        </is>
      </c>
      <c r="B8" s="16" t="inlineStr">
        <is>
          <t>Average Sales uses AVERAGE on the Sales column.</t>
        </is>
      </c>
    </row>
    <row r="9">
      <c r="A9" s="15" t="inlineStr">
        <is>
          <t>Step 5</t>
        </is>
      </c>
      <c r="B9" s="16" t="inlineStr">
        <is>
          <t>Transaction Count uses COUNTA on Transaction ID.</t>
        </is>
      </c>
    </row>
    <row r="10">
      <c r="A10" s="15" t="inlineStr">
        <is>
          <t>Step 6</t>
        </is>
      </c>
      <c r="B10" s="16" t="inlineStr">
        <is>
          <t>Check the formulas and compare the totals manually.</t>
        </is>
      </c>
    </row>
    <row r="11">
      <c r="A11" s="15" t="inlineStr">
        <is>
          <t>Interview Q1</t>
        </is>
      </c>
      <c r="B11" s="16" t="inlineStr">
        <is>
          <t>What is a KPI? A KPI is a measurable value used to track performance against a goal.</t>
        </is>
      </c>
    </row>
    <row r="12">
      <c r="A12" s="15" t="inlineStr">
        <is>
          <t>Interview Q2</t>
        </is>
      </c>
      <c r="B12" s="16" t="inlineStr">
        <is>
          <t>How is average different from total? Total adds all values; average divides the total by the number of values.</t>
        </is>
      </c>
    </row>
    <row r="13">
      <c r="A13" s="15" t="inlineStr">
        <is>
          <t>Important</t>
        </is>
      </c>
      <c r="B13" s="16" t="inlineStr">
        <is>
          <t>Sample data is illustrative. If Veda Technology gave you a separate dataset, replace the sample rows and keep the formulas.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2026-10-14T09:03:37Z</dcterms:created>
  <dcterms:modified xmlns:dcterms="http://purl.org/dc/terms/" xmlns:xsi="http://www.w3.org/2001/XMLSchema-instance" xsi:type="dcterms:W3CDTF">2026-10-14T09:03:38Z</dcterms:modified>
</cp:coreProperties>
</file>